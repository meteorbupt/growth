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中绩效沟通记录表" sheetId="1" state="visible" r:id="rId1"/>
    <sheet name="团队绩效汇总与档级校准" sheetId="2" state="visible" r:id="rId2"/>
    <sheet name="AI时代潜力评估" sheetId="3" state="visible" r:id="rId3"/>
    <sheet name="面谈准备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E3A8A"/>
      <sz val="11"/>
    </font>
    <font>
      <name val="Arial"/>
      <b val="1"/>
      <color rgb="00475569"/>
      <sz val="10"/>
    </font>
    <font>
      <name val="Arial"/>
      <b val="1"/>
      <color rgb="00FFFFFF"/>
      <sz val="10"/>
    </font>
    <font>
      <name val="Arial"/>
      <b val="1"/>
      <color rgb="001E3A8A"/>
      <sz val="10"/>
    </font>
    <font>
      <name val="Arial"/>
      <i val="1"/>
      <color rgb="0064748B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b val="1"/>
      <color rgb="001E3A8A"/>
      <sz val="12"/>
    </font>
    <font>
      <name val="Arial"/>
      <color rgb="00475569"/>
      <sz val="10"/>
    </font>
    <font>
      <name val="Arial"/>
      <color rgb="00475569"/>
      <sz val="9"/>
    </font>
    <font>
      <name val="Arial"/>
      <color rgb="0064748B"/>
      <sz val="8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1F6FC"/>
      </patternFill>
    </fill>
    <fill>
      <patternFill patternType="solid">
        <fgColor rgb="00EAF2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horizontal="left" vertical="center" wrapText="1" indent="1"/>
    </xf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/>
    </xf>
    <xf numFmtId="2" fontId="10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2" fontId="6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 indent="1"/>
    </xf>
    <xf numFmtId="0" fontId="13" fillId="6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 indent="1"/>
    </xf>
    <xf numFmtId="0" fontId="13" fillId="7" borderId="1" applyAlignment="1" pivotButton="0" quotePrefix="0" xfId="0">
      <alignment horizontal="left" vertical="center" wrapText="1" indent="1"/>
    </xf>
    <xf numFmtId="0" fontId="0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2" fontId="10" fillId="8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5" customWidth="1" min="4" max="4"/>
    <col width="9" customWidth="1" min="5" max="5"/>
    <col width="11" customWidth="1" min="6" max="6"/>
    <col width="9" customWidth="1" min="7" max="7"/>
    <col width="12" customWidth="1" min="8" max="8"/>
    <col width="18" customWidth="1" min="9" max="9"/>
  </cols>
  <sheetData>
    <row r="1" ht="34" customHeight="1">
      <c r="A1" s="1" t="inlineStr">
        <is>
          <t>年中绩效沟通记录表</t>
        </is>
      </c>
    </row>
    <row r="2" ht="30" customHeight="1">
      <c r="A2" s="2" t="inlineStr">
        <is>
          <t>说明：用于半年度绩效沟通，按 PDCA 循环与绩效管理五步法设计。覆盖目标回顾、能力评估、反馈、下半年目标与个人发展计划。请用具体事例和数据填写，避免空泛评价。</t>
        </is>
      </c>
    </row>
    <row r="4" ht="22" customHeight="1">
      <c r="A4" s="3" t="inlineStr">
        <is>
          <t>一、基本信息</t>
        </is>
      </c>
    </row>
    <row r="5" ht="20" customHeight="1">
      <c r="A5" s="4" t="inlineStr">
        <is>
          <t>姓名</t>
        </is>
      </c>
      <c r="B5" s="36" t="n"/>
      <c r="C5" s="6" t="inlineStr"/>
      <c r="D5" s="37" t="n"/>
      <c r="E5" s="36" t="n"/>
      <c r="F5" s="4" t="inlineStr">
        <is>
          <t>工号</t>
        </is>
      </c>
      <c r="G5" s="36" t="n"/>
      <c r="H5" s="6" t="inlineStr"/>
      <c r="I5" s="36" t="n"/>
    </row>
    <row r="6" ht="20" customHeight="1">
      <c r="A6" s="4" t="inlineStr">
        <is>
          <t>部门</t>
        </is>
      </c>
      <c r="B6" s="36" t="n"/>
      <c r="C6" s="6" t="inlineStr"/>
      <c r="D6" s="37" t="n"/>
      <c r="E6" s="36" t="n"/>
      <c r="F6" s="4" t="inlineStr">
        <is>
          <t>岗位 / 职级</t>
        </is>
      </c>
      <c r="G6" s="36" t="n"/>
      <c r="H6" s="6" t="inlineStr"/>
      <c r="I6" s="36" t="n"/>
    </row>
    <row r="7" ht="20" customHeight="1">
      <c r="A7" s="4" t="inlineStr">
        <is>
          <t>入职日期</t>
        </is>
      </c>
      <c r="B7" s="36" t="n"/>
      <c r="C7" s="6" t="inlineStr"/>
      <c r="D7" s="37" t="n"/>
      <c r="E7" s="36" t="n"/>
      <c r="F7" s="4" t="inlineStr">
        <is>
          <t>直接主管</t>
        </is>
      </c>
      <c r="G7" s="36" t="n"/>
      <c r="H7" s="6" t="inlineStr"/>
      <c r="I7" s="36" t="n"/>
    </row>
    <row r="8" ht="20" customHeight="1">
      <c r="A8" s="4" t="inlineStr">
        <is>
          <t>沟通日期</t>
        </is>
      </c>
      <c r="B8" s="36" t="n"/>
      <c r="C8" s="6" t="inlineStr"/>
      <c r="D8" s="37" t="n"/>
      <c r="E8" s="36" t="n"/>
      <c r="F8" s="4" t="inlineStr">
        <is>
          <t>沟通地点</t>
        </is>
      </c>
      <c r="G8" s="36" t="n"/>
      <c r="H8" s="6" t="inlineStr"/>
      <c r="I8" s="36" t="n"/>
    </row>
    <row r="9" ht="22" customHeight="1">
      <c r="A9" s="3" t="inlineStr">
        <is>
          <t>二、上半年目标完成回顾</t>
        </is>
      </c>
    </row>
    <row r="10" ht="28" customHeight="1">
      <c r="A10" s="7" t="inlineStr">
        <is>
          <t>序号</t>
        </is>
      </c>
      <c r="B10" s="7" t="inlineStr">
        <is>
          <t>类别</t>
        </is>
      </c>
      <c r="C10" s="7" t="inlineStr">
        <is>
          <t>目标内容</t>
        </is>
      </c>
      <c r="E10" s="7" t="inlineStr">
        <is>
          <t>权重%</t>
        </is>
      </c>
      <c r="F10" s="7" t="inlineStr">
        <is>
          <t>完成度%</t>
        </is>
      </c>
      <c r="G10" s="7" t="inlineStr">
        <is>
          <t>自评档级</t>
        </is>
      </c>
      <c r="H10" s="7" t="inlineStr">
        <is>
          <t>主管档级</t>
        </is>
      </c>
      <c r="I10" s="7" t="inlineStr">
        <is>
          <t>关键证据 / 事例</t>
        </is>
      </c>
    </row>
    <row r="11" ht="30" customHeight="1">
      <c r="A11" s="8" t="n">
        <v>1</v>
      </c>
      <c r="B11" s="9" t="n"/>
      <c r="C11" s="9" t="n"/>
      <c r="D11" s="36" t="n"/>
      <c r="E11" s="8" t="n"/>
      <c r="F11" s="8" t="n"/>
      <c r="G11" s="8" t="n"/>
      <c r="H11" s="8" t="n"/>
      <c r="I11" s="10" t="n"/>
    </row>
    <row r="12" ht="30" customHeight="1">
      <c r="A12" s="11" t="n">
        <v>2</v>
      </c>
      <c r="B12" s="12" t="n"/>
      <c r="C12" s="12" t="n"/>
      <c r="D12" s="36" t="n"/>
      <c r="E12" s="11" t="n"/>
      <c r="F12" s="11" t="n"/>
      <c r="G12" s="11" t="n"/>
      <c r="H12" s="11" t="n"/>
      <c r="I12" s="13" t="n"/>
    </row>
    <row r="13" ht="30" customHeight="1">
      <c r="A13" s="8" t="n">
        <v>3</v>
      </c>
      <c r="B13" s="9" t="n"/>
      <c r="C13" s="9" t="n"/>
      <c r="D13" s="36" t="n"/>
      <c r="E13" s="8" t="n"/>
      <c r="F13" s="8" t="n"/>
      <c r="G13" s="8" t="n"/>
      <c r="H13" s="8" t="n"/>
      <c r="I13" s="10" t="n"/>
    </row>
    <row r="14" ht="30" customHeight="1">
      <c r="A14" s="11" t="n">
        <v>4</v>
      </c>
      <c r="B14" s="12" t="n"/>
      <c r="C14" s="12" t="n"/>
      <c r="D14" s="36" t="n"/>
      <c r="E14" s="11" t="n"/>
      <c r="F14" s="11" t="n"/>
      <c r="G14" s="11" t="n"/>
      <c r="H14" s="11" t="n"/>
      <c r="I14" s="13" t="n"/>
    </row>
    <row r="15" ht="30" customHeight="1">
      <c r="A15" s="8" t="n">
        <v>5</v>
      </c>
      <c r="B15" s="9" t="n"/>
      <c r="C15" s="9" t="n"/>
      <c r="D15" s="36" t="n"/>
      <c r="E15" s="8" t="n"/>
      <c r="F15" s="8" t="n"/>
      <c r="G15" s="8" t="n"/>
      <c r="H15" s="8" t="n"/>
      <c r="I15" s="10" t="n"/>
    </row>
    <row r="16">
      <c r="A16" s="4" t="inlineStr">
        <is>
          <t>权重合计（应为 100%）</t>
        </is>
      </c>
      <c r="B16" s="37" t="n"/>
      <c r="C16" s="37" t="n"/>
      <c r="D16" s="36" t="n"/>
      <c r="E16" s="14">
        <f>SUM(E11:E15)</f>
        <v/>
      </c>
      <c r="F16" s="15">
        <f>IF(E16=100,"✓ 合计正确","当前合计 "&amp;E16&amp;"%，请确认")</f>
        <v/>
      </c>
      <c r="G16" s="37" t="n"/>
      <c r="H16" s="37" t="n"/>
      <c r="I16" s="36" t="n"/>
    </row>
    <row r="17" ht="22" customHeight="1">
      <c r="A17" s="3" t="inlineStr">
        <is>
          <t>三、能力评估    1-5 分制：5 卓越 / 4 优秀 / 3 合格 / 2 不足 / 1 待提升</t>
        </is>
      </c>
    </row>
    <row r="18" ht="28" customHeight="1">
      <c r="A18" s="7" t="inlineStr">
        <is>
          <t>维度</t>
        </is>
      </c>
      <c r="C18" s="7" t="inlineStr">
        <is>
          <t>评估要点</t>
        </is>
      </c>
      <c r="E18" s="7" t="inlineStr">
        <is>
          <t>权重%</t>
        </is>
      </c>
      <c r="F18" s="7" t="inlineStr">
        <is>
          <t>自评</t>
        </is>
      </c>
      <c r="G18" s="7" t="inlineStr">
        <is>
          <t>主管评分</t>
        </is>
      </c>
      <c r="H18" s="7" t="inlineStr">
        <is>
          <t>差距</t>
        </is>
      </c>
      <c r="I18" s="7" t="inlineStr">
        <is>
          <t>典型事例</t>
        </is>
      </c>
    </row>
    <row r="19" ht="26" customHeight="1">
      <c r="A19" s="16" t="inlineStr">
        <is>
          <t>业绩产出</t>
        </is>
      </c>
      <c r="B19" s="36" t="n"/>
      <c r="C19" s="17" t="inlineStr">
        <is>
          <t>目标达成度、工作质量、交付效率</t>
        </is>
      </c>
      <c r="D19" s="36" t="n"/>
      <c r="E19" s="8" t="n"/>
      <c r="F19" s="8" t="n"/>
      <c r="G19" s="8" t="n"/>
      <c r="H19" s="18">
        <f>G19-F19</f>
        <v/>
      </c>
      <c r="I19" s="10" t="n"/>
    </row>
    <row r="20" ht="26" customHeight="1">
      <c r="A20" s="19" t="inlineStr">
        <is>
          <t>专业能力</t>
        </is>
      </c>
      <c r="B20" s="36" t="n"/>
      <c r="C20" s="20" t="inlineStr">
        <is>
          <t>技术深度、问题解决、创新能力</t>
        </is>
      </c>
      <c r="D20" s="36" t="n"/>
      <c r="E20" s="11" t="n"/>
      <c r="F20" s="11" t="n"/>
      <c r="G20" s="11" t="n"/>
      <c r="H20" s="21">
        <f>G20-F20</f>
        <v/>
      </c>
      <c r="I20" s="13" t="n"/>
    </row>
    <row r="21" ht="26" customHeight="1">
      <c r="A21" s="16" t="inlineStr">
        <is>
          <t>团队协作</t>
        </is>
      </c>
      <c r="B21" s="36" t="n"/>
      <c r="C21" s="17" t="inlineStr">
        <is>
          <t>沟通配合、知识分享、帮助他人</t>
        </is>
      </c>
      <c r="D21" s="36" t="n"/>
      <c r="E21" s="8" t="n"/>
      <c r="F21" s="8" t="n"/>
      <c r="G21" s="8" t="n"/>
      <c r="H21" s="18">
        <f>G21-F21</f>
        <v/>
      </c>
      <c r="I21" s="10" t="n"/>
    </row>
    <row r="22" ht="26" customHeight="1">
      <c r="A22" s="19" t="inlineStr">
        <is>
          <t>主动性</t>
        </is>
      </c>
      <c r="B22" s="36" t="n"/>
      <c r="C22" s="20" t="inlineStr">
        <is>
          <t>积极思考、主动承担、推动改进</t>
        </is>
      </c>
      <c r="D22" s="36" t="n"/>
      <c r="E22" s="11" t="n"/>
      <c r="F22" s="11" t="n"/>
      <c r="G22" s="11" t="n"/>
      <c r="H22" s="21">
        <f>G22-F22</f>
        <v/>
      </c>
      <c r="I22" s="13" t="n"/>
    </row>
    <row r="23" ht="26" customHeight="1">
      <c r="A23" s="16" t="inlineStr">
        <is>
          <t>成长发展</t>
        </is>
      </c>
      <c r="B23" s="36" t="n"/>
      <c r="C23" s="17" t="inlineStr">
        <is>
          <t>学习提升、技能拓展、能力进阶</t>
        </is>
      </c>
      <c r="D23" s="36" t="n"/>
      <c r="E23" s="8" t="n"/>
      <c r="F23" s="8" t="n"/>
      <c r="G23" s="8" t="n"/>
      <c r="H23" s="18">
        <f>G23-F23</f>
        <v/>
      </c>
      <c r="I23" s="10" t="n"/>
    </row>
    <row r="24">
      <c r="A24" s="4" t="inlineStr">
        <is>
          <t>能力综合得分（按权重加权，5 分制）</t>
        </is>
      </c>
      <c r="B24" s="37" t="n"/>
      <c r="C24" s="37" t="n"/>
      <c r="D24" s="37" t="n"/>
      <c r="E24" s="37" t="n"/>
      <c r="F24" s="36" t="n"/>
      <c r="G24" s="22">
        <f>IFERROR(SUMPRODUCT(E19:E23,G19:G23)/SUM(E19:E23),"")</f>
        <v/>
      </c>
      <c r="H24" s="23" t="inlineStr">
        <is>
          <t>参考：≥4.5 卓越 ｜ 4–4.5 优秀 ｜ 3–4 合格 ｜ &lt;3 待提升</t>
        </is>
      </c>
      <c r="I24" s="36" t="n"/>
    </row>
    <row r="25" ht="22" customHeight="1">
      <c r="A25" s="3" t="inlineStr">
        <is>
          <t>四、绩效亮点    主动积极式反馈：具体事例 + 引导式发问</t>
        </is>
      </c>
    </row>
    <row r="26" ht="28" customHeight="1">
      <c r="A26" s="7" t="inlineStr">
        <is>
          <t>亮点</t>
        </is>
      </c>
      <c r="C26" s="7" t="inlineStr">
        <is>
          <t>具体事例（行为 + 结果 / 影响）</t>
        </is>
      </c>
      <c r="G26" s="7" t="inlineStr">
        <is>
          <t>主动积极式反馈话术（肯定 + 引导式发问）</t>
        </is>
      </c>
    </row>
    <row r="27" ht="34" customHeight="1">
      <c r="A27" s="24" t="inlineStr">
        <is>
          <t>亮点 1</t>
        </is>
      </c>
      <c r="B27" s="36" t="n"/>
      <c r="C27" s="6" t="n"/>
      <c r="D27" s="37" t="n"/>
      <c r="E27" s="37" t="n"/>
      <c r="F27" s="36" t="n"/>
      <c r="G27" s="6" t="n"/>
      <c r="H27" s="37" t="n"/>
      <c r="I27" s="36" t="n"/>
    </row>
    <row r="28" ht="34" customHeight="1">
      <c r="A28" s="24" t="inlineStr">
        <is>
          <t>亮点 2</t>
        </is>
      </c>
      <c r="B28" s="36" t="n"/>
      <c r="C28" s="6" t="n"/>
      <c r="D28" s="37" t="n"/>
      <c r="E28" s="37" t="n"/>
      <c r="F28" s="36" t="n"/>
      <c r="G28" s="6" t="n"/>
      <c r="H28" s="37" t="n"/>
      <c r="I28" s="36" t="n"/>
    </row>
    <row r="29" ht="34" customHeight="1">
      <c r="A29" s="24" t="inlineStr">
        <is>
          <t>亮点 3</t>
        </is>
      </c>
      <c r="B29" s="36" t="n"/>
      <c r="C29" s="6" t="n"/>
      <c r="D29" s="37" t="n"/>
      <c r="E29" s="37" t="n"/>
      <c r="F29" s="36" t="n"/>
      <c r="G29" s="6" t="n"/>
      <c r="H29" s="37" t="n"/>
      <c r="I29" s="36" t="n"/>
    </row>
    <row r="30" ht="22" customHeight="1">
      <c r="A30" s="3" t="inlineStr">
        <is>
          <t>五、待改进事项    BEST 反馈模型：行为 → 影响 → 建议 → 信任</t>
        </is>
      </c>
    </row>
    <row r="31" ht="30" customHeight="1">
      <c r="A31" s="25" t="inlineStr">
        <is>
          <t>B ｜ 行为</t>
        </is>
      </c>
      <c r="B31" s="36" t="n"/>
      <c r="C31" s="15" t="inlineStr">
        <is>
          <t>客观描述具体行为和事实，不加评判（例：最近三个迭代，有两次延期交付）</t>
        </is>
      </c>
      <c r="D31" s="37" t="n"/>
      <c r="E31" s="37" t="n"/>
      <c r="F31" s="37" t="n"/>
      <c r="G31" s="37" t="n"/>
      <c r="H31" s="37" t="n"/>
      <c r="I31" s="36" t="n"/>
    </row>
    <row r="32" ht="30" customHeight="1">
      <c r="A32" s="25" t="inlineStr">
        <is>
          <t>E ｜ 影响</t>
        </is>
      </c>
      <c r="B32" s="36" t="n"/>
      <c r="C32" s="15" t="inlineStr">
        <is>
          <t>说明该行为带来的影响和后果（例：导致下游测试团队工作被打乱）</t>
        </is>
      </c>
      <c r="D32" s="37" t="n"/>
      <c r="E32" s="37" t="n"/>
      <c r="F32" s="37" t="n"/>
      <c r="G32" s="37" t="n"/>
      <c r="H32" s="37" t="n"/>
      <c r="I32" s="36" t="n"/>
    </row>
    <row r="33" ht="30" customHeight="1">
      <c r="A33" s="25" t="inlineStr">
        <is>
          <t>S ｜ 建议</t>
        </is>
      </c>
      <c r="B33" s="36" t="n"/>
      <c r="C33" s="15" t="inlineStr">
        <is>
          <t>给出具体的改进建议和方向（例：排期时预留 20% buffer）</t>
        </is>
      </c>
      <c r="D33" s="37" t="n"/>
      <c r="E33" s="37" t="n"/>
      <c r="F33" s="37" t="n"/>
      <c r="G33" s="37" t="n"/>
      <c r="H33" s="37" t="n"/>
      <c r="I33" s="36" t="n"/>
    </row>
    <row r="34" ht="30" customHeight="1">
      <c r="A34" s="25" t="inlineStr">
        <is>
          <t>T ｜ 信任</t>
        </is>
      </c>
      <c r="B34" s="36" t="n"/>
      <c r="C34" s="15" t="inlineStr">
        <is>
          <t>表达对员工改进的信心与期待（例：以你的能力，调整后一定能做好）</t>
        </is>
      </c>
      <c r="D34" s="37" t="n"/>
      <c r="E34" s="37" t="n"/>
      <c r="F34" s="37" t="n"/>
      <c r="G34" s="37" t="n"/>
      <c r="H34" s="37" t="n"/>
      <c r="I34" s="36" t="n"/>
    </row>
    <row r="35" ht="22" customHeight="1">
      <c r="A35" s="3" t="inlineStr">
        <is>
          <t>六、下半年重点目标    少而精，建议 3–5 个</t>
        </is>
      </c>
    </row>
    <row r="36" ht="28" customHeight="1">
      <c r="A36" s="7" t="inlineStr">
        <is>
          <t>序号</t>
        </is>
      </c>
      <c r="B36" s="7" t="inlineStr">
        <is>
          <t>目标内容</t>
        </is>
      </c>
      <c r="E36" s="7" t="inlineStr">
        <is>
          <t>衡量标准 / 关键结果</t>
        </is>
      </c>
      <c r="H36" s="7" t="inlineStr">
        <is>
          <t>责任人</t>
        </is>
      </c>
      <c r="I36" s="7" t="inlineStr">
        <is>
          <t>计划完成时间</t>
        </is>
      </c>
    </row>
    <row r="37" ht="26" customHeight="1">
      <c r="A37" s="8" t="n">
        <v>1</v>
      </c>
      <c r="B37" s="10" t="n"/>
      <c r="C37" s="37" t="n"/>
      <c r="D37" s="36" t="n"/>
      <c r="E37" s="10" t="n"/>
      <c r="F37" s="37" t="n"/>
      <c r="G37" s="36" t="n"/>
      <c r="H37" s="8" t="n"/>
      <c r="I37" s="8" t="n"/>
    </row>
    <row r="38" ht="26" customHeight="1">
      <c r="A38" s="11" t="n">
        <v>2</v>
      </c>
      <c r="B38" s="13" t="n"/>
      <c r="C38" s="37" t="n"/>
      <c r="D38" s="36" t="n"/>
      <c r="E38" s="13" t="n"/>
      <c r="F38" s="37" t="n"/>
      <c r="G38" s="36" t="n"/>
      <c r="H38" s="11" t="n"/>
      <c r="I38" s="11" t="n"/>
    </row>
    <row r="39" ht="26" customHeight="1">
      <c r="A39" s="8" t="n">
        <v>3</v>
      </c>
      <c r="B39" s="10" t="n"/>
      <c r="C39" s="37" t="n"/>
      <c r="D39" s="36" t="n"/>
      <c r="E39" s="10" t="n"/>
      <c r="F39" s="37" t="n"/>
      <c r="G39" s="36" t="n"/>
      <c r="H39" s="8" t="n"/>
      <c r="I39" s="8" t="n"/>
    </row>
    <row r="40" ht="26" customHeight="1">
      <c r="A40" s="11" t="n">
        <v>4</v>
      </c>
      <c r="B40" s="13" t="n"/>
      <c r="C40" s="37" t="n"/>
      <c r="D40" s="36" t="n"/>
      <c r="E40" s="13" t="n"/>
      <c r="F40" s="37" t="n"/>
      <c r="G40" s="36" t="n"/>
      <c r="H40" s="11" t="n"/>
      <c r="I40" s="11" t="n"/>
    </row>
    <row r="41" ht="26" customHeight="1">
      <c r="A41" s="8" t="n">
        <v>5</v>
      </c>
      <c r="B41" s="10" t="n"/>
      <c r="C41" s="37" t="n"/>
      <c r="D41" s="36" t="n"/>
      <c r="E41" s="10" t="n"/>
      <c r="F41" s="37" t="n"/>
      <c r="G41" s="36" t="n"/>
      <c r="H41" s="8" t="n"/>
      <c r="I41" s="8" t="n"/>
    </row>
    <row r="42" ht="22" customHeight="1">
      <c r="A42" s="3" t="inlineStr">
        <is>
          <t>七、个人发展计划    7-2-1 法则：围绕员工优势展开</t>
        </is>
      </c>
    </row>
    <row r="43" ht="28" customHeight="1">
      <c r="A43" s="25" t="inlineStr">
        <is>
          <t>重点发展能力</t>
        </is>
      </c>
      <c r="B43" s="36" t="n"/>
      <c r="C43" s="6" t="inlineStr"/>
      <c r="D43" s="37" t="n"/>
      <c r="E43" s="37" t="n"/>
      <c r="F43" s="37" t="n"/>
      <c r="G43" s="37" t="n"/>
      <c r="H43" s="37" t="n"/>
      <c r="I43" s="36" t="n"/>
    </row>
    <row r="44" ht="28" customHeight="1">
      <c r="A44" s="25" t="inlineStr">
        <is>
          <t>70% ｜ 工作实践</t>
        </is>
      </c>
      <c r="B44" s="36" t="n"/>
      <c r="C44" s="15" t="inlineStr">
        <is>
          <t>挑战性项目、扩大职责范围、跨团队协作、试错与复盘</t>
        </is>
      </c>
      <c r="D44" s="37" t="n"/>
      <c r="E44" s="37" t="n"/>
      <c r="F44" s="37" t="n"/>
      <c r="G44" s="37" t="n"/>
      <c r="H44" s="37" t="n"/>
      <c r="I44" s="36" t="n"/>
    </row>
    <row r="45" ht="28" customHeight="1">
      <c r="A45" s="25" t="inlineStr">
        <is>
          <t>20% ｜ 交流讨论</t>
        </is>
      </c>
      <c r="B45" s="36" t="n"/>
      <c r="C45" s="15" t="inlineStr">
        <is>
          <t>导师辅导、技术分享、Code Review、团队讨论与头脑风暴</t>
        </is>
      </c>
      <c r="D45" s="37" t="n"/>
      <c r="E45" s="37" t="n"/>
      <c r="F45" s="37" t="n"/>
      <c r="G45" s="37" t="n"/>
      <c r="H45" s="37" t="n"/>
      <c r="I45" s="36" t="n"/>
    </row>
    <row r="46" ht="28" customHeight="1">
      <c r="A46" s="25" t="inlineStr">
        <is>
          <t>10% ｜ 培训自学</t>
        </is>
      </c>
      <c r="B46" s="36" t="n"/>
      <c r="C46" s="15" t="inlineStr">
        <is>
          <t>培训课程、技术书籍、在线课程、技术大会</t>
        </is>
      </c>
      <c r="D46" s="37" t="n"/>
      <c r="E46" s="37" t="n"/>
      <c r="F46" s="37" t="n"/>
      <c r="G46" s="37" t="n"/>
      <c r="H46" s="37" t="n"/>
      <c r="I46" s="36" t="n"/>
    </row>
    <row r="47" ht="28" customHeight="1">
      <c r="A47" s="25" t="inlineStr">
        <is>
          <t>预期成果</t>
        </is>
      </c>
      <c r="B47" s="36" t="n"/>
      <c r="C47" s="15" t="inlineStr">
        <is>
          <t>可衡量的阶段性成果（如独立负责某模块、输出某项技术方案）</t>
        </is>
      </c>
      <c r="D47" s="37" t="n"/>
      <c r="E47" s="37" t="n"/>
      <c r="F47" s="37" t="n"/>
      <c r="G47" s="37" t="n"/>
      <c r="H47" s="37" t="n"/>
      <c r="I47" s="36" t="n"/>
    </row>
    <row r="48" ht="22" customHeight="1">
      <c r="A48" s="3" t="inlineStr">
        <is>
          <t>八、沟通结论与共识</t>
        </is>
      </c>
    </row>
    <row r="49" ht="22" customHeight="1">
      <c r="A49" s="4" t="inlineStr">
        <is>
          <t>拟定绩效档级</t>
        </is>
      </c>
      <c r="B49" s="36" t="n"/>
      <c r="C49" s="15" t="inlineStr">
        <is>
          <t>S / A / B / C / D</t>
        </is>
      </c>
      <c r="D49" s="37" t="n"/>
      <c r="E49" s="37" t="n"/>
      <c r="F49" s="37" t="n"/>
      <c r="G49" s="37" t="n"/>
      <c r="H49" s="37" t="n"/>
      <c r="I49" s="36" t="n"/>
    </row>
    <row r="50" ht="34" customHeight="1">
      <c r="A50" s="4" t="inlineStr">
        <is>
          <t>双方达成的共识</t>
        </is>
      </c>
      <c r="B50" s="36" t="n"/>
      <c r="C50" s="6" t="inlineStr"/>
      <c r="D50" s="37" t="n"/>
      <c r="E50" s="37" t="n"/>
      <c r="F50" s="37" t="n"/>
      <c r="G50" s="37" t="n"/>
      <c r="H50" s="37" t="n"/>
      <c r="I50" s="36" t="n"/>
    </row>
    <row r="51" ht="34" customHeight="1">
      <c r="A51" s="4" t="inlineStr">
        <is>
          <t>员工意见 / 想法</t>
        </is>
      </c>
      <c r="B51" s="36" t="n"/>
      <c r="C51" s="6" t="inlineStr"/>
      <c r="D51" s="37" t="n"/>
      <c r="E51" s="37" t="n"/>
      <c r="F51" s="37" t="n"/>
      <c r="G51" s="37" t="n"/>
      <c r="H51" s="37" t="n"/>
      <c r="I51" s="36" t="n"/>
    </row>
    <row r="52" ht="26" customHeight="1">
      <c r="A52" s="26" t="inlineStr">
        <is>
          <t>员工签字：__________    日期：__________</t>
        </is>
      </c>
      <c r="B52" s="37" t="n"/>
      <c r="C52" s="37" t="n"/>
      <c r="D52" s="37" t="n"/>
      <c r="E52" s="36" t="n"/>
      <c r="F52" s="26" t="inlineStr">
        <is>
          <t>管理者签字：__________    日期：__________</t>
        </is>
      </c>
      <c r="G52" s="37" t="n"/>
      <c r="H52" s="37" t="n"/>
      <c r="I52" s="36" t="n"/>
    </row>
  </sheetData>
  <mergeCells count="121">
    <mergeCell ref="C15:D15"/>
    <mergeCell ref="A51:B51"/>
    <mergeCell ref="E40:G40"/>
    <mergeCell ref="I10"/>
    <mergeCell ref="A2:I2"/>
    <mergeCell ref="B37:D37"/>
    <mergeCell ref="A7:B7"/>
    <mergeCell ref="E18"/>
    <mergeCell ref="A42:I42"/>
    <mergeCell ref="A17:I17"/>
    <mergeCell ref="F16:I16"/>
    <mergeCell ref="G26:I26"/>
    <mergeCell ref="C7:E7"/>
    <mergeCell ref="A27:B27"/>
    <mergeCell ref="A35:I35"/>
    <mergeCell ref="C45:I45"/>
    <mergeCell ref="A33:B33"/>
    <mergeCell ref="C26:F26"/>
    <mergeCell ref="A9:I9"/>
    <mergeCell ref="C47:I47"/>
    <mergeCell ref="A16:D16"/>
    <mergeCell ref="A48:I48"/>
    <mergeCell ref="A22:B22"/>
    <mergeCell ref="I22"/>
    <mergeCell ref="A30:I30"/>
    <mergeCell ref="A24:F24"/>
    <mergeCell ref="C31:I31"/>
    <mergeCell ref="I12"/>
    <mergeCell ref="A19:B19"/>
    <mergeCell ref="A52:E52"/>
    <mergeCell ref="C19:D19"/>
    <mergeCell ref="I21"/>
    <mergeCell ref="A28:B28"/>
    <mergeCell ref="B10"/>
    <mergeCell ref="C27:F27"/>
    <mergeCell ref="I14"/>
    <mergeCell ref="I23"/>
    <mergeCell ref="G28:I28"/>
    <mergeCell ref="A45:B45"/>
    <mergeCell ref="F52:I52"/>
    <mergeCell ref="C14:D14"/>
    <mergeCell ref="F6:G6"/>
    <mergeCell ref="C28:F28"/>
    <mergeCell ref="F5:G5"/>
    <mergeCell ref="C34:I34"/>
    <mergeCell ref="A46:B46"/>
    <mergeCell ref="A26:B26"/>
    <mergeCell ref="B36:D36"/>
    <mergeCell ref="E41:G41"/>
    <mergeCell ref="E10"/>
    <mergeCell ref="A8:B8"/>
    <mergeCell ref="G10"/>
    <mergeCell ref="G18"/>
    <mergeCell ref="C44:I44"/>
    <mergeCell ref="I18"/>
    <mergeCell ref="G27:I27"/>
    <mergeCell ref="A1:I1"/>
    <mergeCell ref="H5:I5"/>
    <mergeCell ref="C46:I46"/>
    <mergeCell ref="C18:D18"/>
    <mergeCell ref="B39:D39"/>
    <mergeCell ref="C51:I51"/>
    <mergeCell ref="A34:B34"/>
    <mergeCell ref="A49:B49"/>
    <mergeCell ref="I20"/>
    <mergeCell ref="C32:I32"/>
    <mergeCell ref="H18"/>
    <mergeCell ref="I13"/>
    <mergeCell ref="F7:G7"/>
    <mergeCell ref="C20:D20"/>
    <mergeCell ref="E36:G36"/>
    <mergeCell ref="C49:I49"/>
    <mergeCell ref="I15"/>
    <mergeCell ref="C22:D22"/>
    <mergeCell ref="H10"/>
    <mergeCell ref="A4:I4"/>
    <mergeCell ref="G29:I29"/>
    <mergeCell ref="C33:I33"/>
    <mergeCell ref="F8:G8"/>
    <mergeCell ref="C12:D12"/>
    <mergeCell ref="A21:B21"/>
    <mergeCell ref="C21:D21"/>
    <mergeCell ref="B41:D41"/>
    <mergeCell ref="E37:G37"/>
    <mergeCell ref="A5:B5"/>
    <mergeCell ref="C29:F29"/>
    <mergeCell ref="A32:B32"/>
    <mergeCell ref="A23:B23"/>
    <mergeCell ref="C23:D23"/>
    <mergeCell ref="C6:E6"/>
    <mergeCell ref="A43:B43"/>
    <mergeCell ref="A25:I25"/>
    <mergeCell ref="A10"/>
    <mergeCell ref="I19"/>
    <mergeCell ref="A6:B6"/>
    <mergeCell ref="B38:D38"/>
    <mergeCell ref="H6:I6"/>
    <mergeCell ref="C10:D10"/>
    <mergeCell ref="C8:E8"/>
    <mergeCell ref="B40:D40"/>
    <mergeCell ref="F10"/>
    <mergeCell ref="I11"/>
    <mergeCell ref="A18:B18"/>
    <mergeCell ref="A36"/>
    <mergeCell ref="A50:B50"/>
    <mergeCell ref="H7:I7"/>
    <mergeCell ref="C11:D11"/>
    <mergeCell ref="A47:B47"/>
    <mergeCell ref="F18"/>
    <mergeCell ref="C50:I50"/>
    <mergeCell ref="A20:B20"/>
    <mergeCell ref="A29:B29"/>
    <mergeCell ref="C5:E5"/>
    <mergeCell ref="H24:I24"/>
    <mergeCell ref="E39:G39"/>
    <mergeCell ref="C43:I43"/>
    <mergeCell ref="A44:B44"/>
    <mergeCell ref="C13:D13"/>
    <mergeCell ref="H8:I8"/>
    <mergeCell ref="A31:B31"/>
    <mergeCell ref="E38:G38"/>
  </mergeCells>
  <dataValidations count="4">
    <dataValidation sqref="B11:B15" showDropDown="0" showInputMessage="0" showErrorMessage="0" allowBlank="1" type="list">
      <formula1>"业务目标,专业目标,团队目标"</formula1>
    </dataValidation>
    <dataValidation sqref="C49 G11:G15 H11:H15" showDropDown="0" showInputMessage="0" showErrorMessage="0" allowBlank="1" type="list">
      <formula1>"S,A,B,C,D"</formula1>
    </dataValidation>
    <dataValidation sqref="E11:E15 E19:E23 F11:F15" showDropDown="0" showInputMessage="0" showErrorMessage="0" allowBlank="1" type="whole" operator="between">
      <formula1>0</formula1>
      <formula2>100</formula2>
    </dataValidation>
    <dataValidation sqref="F19:F23 G19:G23" showDropDown="0" showInputMessage="0" showErrorMessage="0" allowBlank="1" type="decimal" operator="between">
      <formula1>1</formula1>
      <formula2>5</formula2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11" customWidth="1" min="10" max="10"/>
    <col width="10" customWidth="1" min="11" max="11"/>
    <col width="26" customWidth="1" min="12" max="12"/>
  </cols>
  <sheetData>
    <row r="1" ht="34" customHeight="1">
      <c r="A1" s="1" t="inlineStr">
        <is>
          <t>团队绩效汇总与档级校准</t>
        </is>
      </c>
    </row>
    <row r="2" ht="30" customHeight="1">
      <c r="A2" s="2" t="inlineStr">
        <is>
          <t>说明：逐人填写五维评分（1-5 分），综合得分按 业绩30% / 专业25% / 协作20% / 主动15% / 成长10% 加权。档级分布用于强制分布校准，分布比例的公平性优先于标准匹配。</t>
        </is>
      </c>
    </row>
    <row r="3" ht="28" customHeight="1">
      <c r="A3" s="7" t="inlineStr">
        <is>
          <t>序号</t>
        </is>
      </c>
      <c r="B3" s="7" t="inlineStr">
        <is>
          <t>姓名</t>
        </is>
      </c>
      <c r="C3" s="7" t="inlineStr">
        <is>
          <t>部门</t>
        </is>
      </c>
      <c r="D3" s="7" t="inlineStr">
        <is>
          <t>岗位</t>
        </is>
      </c>
      <c r="E3" s="7" t="inlineStr">
        <is>
          <t>业绩产出</t>
        </is>
      </c>
      <c r="F3" s="7" t="inlineStr">
        <is>
          <t>专业能力</t>
        </is>
      </c>
      <c r="G3" s="7" t="inlineStr">
        <is>
          <t>团队协作</t>
        </is>
      </c>
      <c r="H3" s="7" t="inlineStr">
        <is>
          <t>主动性</t>
        </is>
      </c>
      <c r="I3" s="7" t="inlineStr">
        <is>
          <t>成长发展</t>
        </is>
      </c>
      <c r="J3" s="7" t="inlineStr">
        <is>
          <t>综合得分</t>
        </is>
      </c>
      <c r="K3" s="7" t="inlineStr">
        <is>
          <t>绩效档级</t>
        </is>
      </c>
      <c r="L3" s="7" t="inlineStr">
        <is>
          <t>关键备注</t>
        </is>
      </c>
    </row>
    <row r="4" ht="20" customHeight="1">
      <c r="A4" s="8" t="n">
        <v>1</v>
      </c>
      <c r="B4" s="10" t="n"/>
      <c r="C4" s="10" t="n"/>
      <c r="D4" s="10" t="n"/>
      <c r="E4" s="8" t="n"/>
      <c r="F4" s="8" t="n"/>
      <c r="G4" s="8" t="n"/>
      <c r="H4" s="8" t="n"/>
      <c r="I4" s="8" t="n"/>
      <c r="J4" s="27">
        <f>IFERROR(SUMPRODUCT(E4:I4,{0.3,0.25,0.2,0.15,0.1}),"")</f>
        <v/>
      </c>
      <c r="K4" s="8" t="n"/>
      <c r="L4" s="10" t="n"/>
      <c r="M4" s="28" t="n"/>
    </row>
    <row r="5" ht="20" customHeight="1">
      <c r="A5" s="11" t="n">
        <v>2</v>
      </c>
      <c r="B5" s="13" t="n"/>
      <c r="C5" s="13" t="n"/>
      <c r="D5" s="13" t="n"/>
      <c r="E5" s="11" t="n"/>
      <c r="F5" s="11" t="n"/>
      <c r="G5" s="11" t="n"/>
      <c r="H5" s="11" t="n"/>
      <c r="I5" s="11" t="n"/>
      <c r="J5" s="27">
        <f>IFERROR(SUMPRODUCT(E5:I5,{0.3,0.25,0.2,0.15,0.1}),"")</f>
        <v/>
      </c>
      <c r="K5" s="11" t="n"/>
      <c r="L5" s="13" t="n"/>
      <c r="M5" s="28" t="n"/>
    </row>
    <row r="6" ht="20" customHeight="1">
      <c r="A6" s="8" t="n">
        <v>3</v>
      </c>
      <c r="B6" s="10" t="n"/>
      <c r="C6" s="10" t="n"/>
      <c r="D6" s="10" t="n"/>
      <c r="E6" s="8" t="n"/>
      <c r="F6" s="8" t="n"/>
      <c r="G6" s="8" t="n"/>
      <c r="H6" s="8" t="n"/>
      <c r="I6" s="8" t="n"/>
      <c r="J6" s="27">
        <f>IFERROR(SUMPRODUCT(E6:I6,{0.3,0.25,0.2,0.15,0.1}),"")</f>
        <v/>
      </c>
      <c r="K6" s="8" t="n"/>
      <c r="L6" s="10" t="n"/>
      <c r="M6" s="28" t="n"/>
    </row>
    <row r="7" ht="20" customHeight="1">
      <c r="A7" s="11" t="n">
        <v>4</v>
      </c>
      <c r="B7" s="13" t="n"/>
      <c r="C7" s="13" t="n"/>
      <c r="D7" s="13" t="n"/>
      <c r="E7" s="11" t="n"/>
      <c r="F7" s="11" t="n"/>
      <c r="G7" s="11" t="n"/>
      <c r="H7" s="11" t="n"/>
      <c r="I7" s="11" t="n"/>
      <c r="J7" s="27">
        <f>IFERROR(SUMPRODUCT(E7:I7,{0.3,0.25,0.2,0.15,0.1}),"")</f>
        <v/>
      </c>
      <c r="K7" s="11" t="n"/>
      <c r="L7" s="13" t="n"/>
      <c r="M7" s="28" t="n"/>
    </row>
    <row r="8" ht="20" customHeight="1">
      <c r="A8" s="8" t="n">
        <v>5</v>
      </c>
      <c r="B8" s="10" t="n"/>
      <c r="C8" s="10" t="n"/>
      <c r="D8" s="10" t="n"/>
      <c r="E8" s="8" t="n"/>
      <c r="F8" s="8" t="n"/>
      <c r="G8" s="8" t="n"/>
      <c r="H8" s="8" t="n"/>
      <c r="I8" s="8" t="n"/>
      <c r="J8" s="27">
        <f>IFERROR(SUMPRODUCT(E8:I8,{0.3,0.25,0.2,0.15,0.1}),"")</f>
        <v/>
      </c>
      <c r="K8" s="8" t="n"/>
      <c r="L8" s="10" t="n"/>
      <c r="M8" s="28" t="n"/>
    </row>
    <row r="9" ht="20" customHeight="1">
      <c r="A9" s="11" t="n">
        <v>6</v>
      </c>
      <c r="B9" s="13" t="n"/>
      <c r="C9" s="13" t="n"/>
      <c r="D9" s="13" t="n"/>
      <c r="E9" s="11" t="n"/>
      <c r="F9" s="11" t="n"/>
      <c r="G9" s="11" t="n"/>
      <c r="H9" s="11" t="n"/>
      <c r="I9" s="11" t="n"/>
      <c r="J9" s="27">
        <f>IFERROR(SUMPRODUCT(E9:I9,{0.3,0.25,0.2,0.15,0.1}),"")</f>
        <v/>
      </c>
      <c r="K9" s="11" t="n"/>
      <c r="L9" s="13" t="n"/>
      <c r="M9" s="28" t="n"/>
    </row>
    <row r="10" ht="20" customHeight="1">
      <c r="A10" s="8" t="n">
        <v>7</v>
      </c>
      <c r="B10" s="10" t="n"/>
      <c r="C10" s="10" t="n"/>
      <c r="D10" s="10" t="n"/>
      <c r="E10" s="8" t="n"/>
      <c r="F10" s="8" t="n"/>
      <c r="G10" s="8" t="n"/>
      <c r="H10" s="8" t="n"/>
      <c r="I10" s="8" t="n"/>
      <c r="J10" s="27">
        <f>IFERROR(SUMPRODUCT(E10:I10,{0.3,0.25,0.2,0.15,0.1}),"")</f>
        <v/>
      </c>
      <c r="K10" s="8" t="n"/>
      <c r="L10" s="10" t="n"/>
      <c r="M10" s="28" t="n"/>
    </row>
    <row r="11" ht="20" customHeight="1">
      <c r="A11" s="11" t="n">
        <v>8</v>
      </c>
      <c r="B11" s="13" t="n"/>
      <c r="C11" s="13" t="n"/>
      <c r="D11" s="13" t="n"/>
      <c r="E11" s="11" t="n"/>
      <c r="F11" s="11" t="n"/>
      <c r="G11" s="11" t="n"/>
      <c r="H11" s="11" t="n"/>
      <c r="I11" s="11" t="n"/>
      <c r="J11" s="27">
        <f>IFERROR(SUMPRODUCT(E11:I11,{0.3,0.25,0.2,0.15,0.1}),"")</f>
        <v/>
      </c>
      <c r="K11" s="11" t="n"/>
      <c r="L11" s="13" t="n"/>
      <c r="M11" s="28" t="n"/>
    </row>
    <row r="12" ht="20" customHeight="1">
      <c r="A12" s="8" t="n">
        <v>9</v>
      </c>
      <c r="B12" s="10" t="n"/>
      <c r="C12" s="10" t="n"/>
      <c r="D12" s="10" t="n"/>
      <c r="E12" s="8" t="n"/>
      <c r="F12" s="8" t="n"/>
      <c r="G12" s="8" t="n"/>
      <c r="H12" s="8" t="n"/>
      <c r="I12" s="8" t="n"/>
      <c r="J12" s="27">
        <f>IFERROR(SUMPRODUCT(E12:I12,{0.3,0.25,0.2,0.15,0.1}),"")</f>
        <v/>
      </c>
      <c r="K12" s="8" t="n"/>
      <c r="L12" s="10" t="n"/>
      <c r="M12" s="28" t="n"/>
    </row>
    <row r="13" ht="20" customHeight="1">
      <c r="A13" s="11" t="n">
        <v>10</v>
      </c>
      <c r="B13" s="13" t="n"/>
      <c r="C13" s="13" t="n"/>
      <c r="D13" s="13" t="n"/>
      <c r="E13" s="11" t="n"/>
      <c r="F13" s="11" t="n"/>
      <c r="G13" s="11" t="n"/>
      <c r="H13" s="11" t="n"/>
      <c r="I13" s="11" t="n"/>
      <c r="J13" s="27">
        <f>IFERROR(SUMPRODUCT(E13:I13,{0.3,0.25,0.2,0.15,0.1}),"")</f>
        <v/>
      </c>
      <c r="K13" s="11" t="n"/>
      <c r="L13" s="13" t="n"/>
      <c r="M13" s="28" t="n"/>
    </row>
    <row r="15" ht="22" customHeight="1">
      <c r="A15" s="3" t="inlineStr">
        <is>
          <t>档级分布统计与强制分布校准</t>
        </is>
      </c>
    </row>
    <row r="16">
      <c r="A16" s="24" t="inlineStr">
        <is>
          <t>档级</t>
        </is>
      </c>
      <c r="B16" s="24" t="inlineStr">
        <is>
          <t>S（卓越）</t>
        </is>
      </c>
      <c r="C16" s="24" t="inlineStr">
        <is>
          <t>A（优秀）</t>
        </is>
      </c>
      <c r="D16" s="24" t="inlineStr">
        <is>
          <t>B（良好）</t>
        </is>
      </c>
      <c r="E16" s="24" t="inlineStr">
        <is>
          <t>C（待改进）</t>
        </is>
      </c>
      <c r="F16" s="24" t="inlineStr">
        <is>
          <t>D（不合格）</t>
        </is>
      </c>
      <c r="G16" s="24" t="inlineStr">
        <is>
          <t>合计</t>
        </is>
      </c>
    </row>
    <row r="17">
      <c r="A17" s="29" t="inlineStr">
        <is>
          <t>人数</t>
        </is>
      </c>
      <c r="B17" s="30">
        <f>COUNTIF($K$4:$K$13,"S")</f>
        <v/>
      </c>
      <c r="C17" s="30">
        <f>COUNTIF($K$4:$K$13,"A")</f>
        <v/>
      </c>
      <c r="D17" s="30">
        <f>COUNTIF($K$4:$K$13,"B")</f>
        <v/>
      </c>
      <c r="E17" s="30">
        <f>COUNTIF($K$4:$K$13,"C")</f>
        <v/>
      </c>
      <c r="F17" s="30">
        <f>COUNTIF($K$4:$K$13,"D")</f>
        <v/>
      </c>
      <c r="G17" s="30">
        <f>SUM(B17:F17)</f>
        <v/>
      </c>
    </row>
    <row r="18">
      <c r="A18" s="29" t="inlineStr">
        <is>
          <t>占比</t>
        </is>
      </c>
      <c r="B18" s="31">
        <f>IFERROR(B17/$G$17,0)</f>
        <v/>
      </c>
      <c r="C18" s="31">
        <f>IFERROR(C17/$G$17,0)</f>
        <v/>
      </c>
      <c r="D18" s="31">
        <f>IFERROR(D17/$G$17,0)</f>
        <v/>
      </c>
      <c r="E18" s="31">
        <f>IFERROR(E17/$G$17,0)</f>
        <v/>
      </c>
      <c r="F18" s="31">
        <f>IFERROR(F17/$G$17,0)</f>
        <v/>
      </c>
      <c r="G18" s="31">
        <f>IFERROR(G17/G17,0)</f>
        <v/>
      </c>
    </row>
    <row r="19">
      <c r="A19" s="29" t="inlineStr">
        <is>
          <t>参考上限</t>
        </is>
      </c>
      <c r="B19" s="32" t="inlineStr">
        <is>
          <t>≤10%</t>
        </is>
      </c>
      <c r="C19" s="32" t="inlineStr">
        <is>
          <t>≤20%</t>
        </is>
      </c>
      <c r="D19" s="32" t="inlineStr">
        <is>
          <t>~60%</t>
        </is>
      </c>
      <c r="E19" s="32" t="inlineStr">
        <is>
          <t>≤10%</t>
        </is>
      </c>
      <c r="F19" s="32" t="inlineStr">
        <is>
          <t>—</t>
        </is>
      </c>
      <c r="G19" s="5" t="n"/>
    </row>
    <row r="21" ht="24" customHeight="1">
      <c r="A21" s="33">
        <f>IF(AND(B17&lt;=1,C17&lt;=2,D17&lt;=6),"✓ 分布基本符合强制分布参考比例","⚠ 部分档级超出参考比例，建议与上级在更大盘子内校准")</f>
        <v/>
      </c>
    </row>
  </sheetData>
  <mergeCells count="4">
    <mergeCell ref="A2:L2"/>
    <mergeCell ref="A21:L21"/>
    <mergeCell ref="A15:L15"/>
    <mergeCell ref="A1:L1"/>
  </mergeCells>
  <dataValidations count="2">
    <dataValidation sqref="K4:K13" showDropDown="0" showInputMessage="0" showErrorMessage="0" allowBlank="1" type="list">
      <formula1>"S,A,B,C,D"</formula1>
    </dataValidation>
    <dataValidation sqref="E4:I13" showDropDown="0" showInputMessage="0" showErrorMessage="0" allowBlank="1" type="decimal" operator="between">
      <formula1>1</formula1>
      <formula2>5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30" customWidth="1" min="4" max="4"/>
    <col width="10" customWidth="1" min="5" max="5"/>
    <col width="38" customWidth="1" min="6" max="6"/>
    <col width="16" customWidth="1" min="7" max="7"/>
  </cols>
  <sheetData>
    <row r="1" ht="34" customHeight="1">
      <c r="A1" s="38" t="inlineStr">
        <is>
          <t>AI时代员工潜力评估</t>
        </is>
      </c>
    </row>
    <row r="2" ht="30" customHeight="1">
      <c r="A2" s="2" t="inlineStr">
        <is>
          <t>能力层看'现在用得怎么样'，特质层看'未来能走多远'。1-5 分制：高/中高/中/中低/低。重点不是'用了多少AI工具'，而是'用AI产出了什么价值、沉淀了什么经验'。低分是培养信号，不是淘汰依据。</t>
        </is>
      </c>
    </row>
    <row r="3" ht="28" customHeight="1">
      <c r="A3" s="39" t="inlineStr">
        <is>
          <t>层级</t>
        </is>
      </c>
      <c r="B3" s="39" t="inlineStr">
        <is>
          <t>维度</t>
        </is>
      </c>
      <c r="C3" s="39" t="inlineStr">
        <is>
          <t>一句话定义</t>
        </is>
      </c>
      <c r="D3" s="39" t="inlineStr">
        <is>
          <t>评估等级</t>
        </is>
      </c>
      <c r="E3" s="39" t="inlineStr">
        <is>
          <t>评分</t>
        </is>
      </c>
      <c r="F3" s="39" t="inlineStr">
        <is>
          <t>行为依据 / 具体事例</t>
        </is>
      </c>
      <c r="G3" s="39" t="inlineStr">
        <is>
          <t>潜力判断</t>
        </is>
      </c>
    </row>
    <row r="4" ht="58" customHeight="1">
      <c r="A4" s="40" t="inlineStr">
        <is>
          <t>能力层</t>
        </is>
      </c>
      <c r="B4" s="16" t="inlineStr">
        <is>
          <t>人机协同能力</t>
        </is>
      </c>
      <c r="C4" s="41" t="inlineStr">
        <is>
          <t>把AI系统化融入个人工作流，以任务拆解和提示词调动AI，以独立判断兜底，并沉淀为团队资产</t>
        </is>
      </c>
      <c r="D4" s="42" t="inlineStr">
        <is>
          <t>高=用活AI(带动组织提效) / 中高=用好AI(有标杆) / 中=能用AI(基础出活) / 中低=用过AI(短板明显) / 低=排斥无判断</t>
        </is>
      </c>
      <c r="E4" s="43" t="n"/>
      <c r="F4" s="10" t="n"/>
      <c r="G4" s="44" t="n"/>
    </row>
    <row r="5" ht="58" customHeight="1">
      <c r="A5" s="45" t="inlineStr">
        <is>
          <t>特质层</t>
        </is>
      </c>
      <c r="B5" s="19" t="inlineStr">
        <is>
          <t>善于思考（判断力）</t>
        </is>
      </c>
      <c r="C5" s="46" t="inlineStr">
        <is>
          <t>不盲信AI输出，能识别边界、风险和异常，做出有依据的取舍判断</t>
        </is>
      </c>
      <c r="D5" s="47" t="inlineStr">
        <is>
          <t>高=识别系统性风险且影响他人 / 中高=主动识别边界风险 / 中=主动质疑说明理由 / 中低=有质疑但理由不足 / 低=照单全收</t>
        </is>
      </c>
      <c r="E5" s="43" t="n"/>
      <c r="F5" s="13" t="n"/>
      <c r="G5" s="48" t="n"/>
    </row>
    <row r="6" ht="58" customHeight="1">
      <c r="A6" s="40" t="inlineStr">
        <is>
          <t>特质层</t>
        </is>
      </c>
      <c r="B6" s="16" t="inlineStr">
        <is>
          <t>勤于自省（认知开放）</t>
        </is>
      </c>
      <c r="C6" s="41" t="inlineStr">
        <is>
          <t>面对新范式愿意先理解再判断，能修正旧认知，不把过去成功绝对化</t>
        </is>
      </c>
      <c r="D6" s="42" t="inlineStr">
        <is>
          <t>高=范式级迭代并带动团队 / 中高=主动找不同观点并推翻结论 / 中=被告知后能跟上 / 中低=知道但不调整 / 低=封闭防御</t>
        </is>
      </c>
      <c r="E6" s="43" t="n"/>
      <c r="F6" s="10" t="n"/>
      <c r="G6" s="44" t="n"/>
    </row>
    <row r="7" ht="58" customHeight="1">
      <c r="A7" s="45" t="inlineStr">
        <is>
          <t>特质层</t>
        </is>
      </c>
      <c r="B7" s="19" t="inlineStr">
        <is>
          <t>追求卓越（好奇心）</t>
        </is>
      </c>
      <c r="C7" s="46" t="inlineStr">
        <is>
          <t>对新工具有探索欲，学习敏捷，能迁移到真实场景，从失败中提炼新规则</t>
        </is>
      </c>
      <c r="D7" s="47" t="inlineStr">
        <is>
          <t>高=跨领域迁移产生乘数效应 / 中高=形成方法论效率领先 / 中=有真实应用 / 中低=浅尝辄止 / 低=排斥探索</t>
        </is>
      </c>
      <c r="E7" s="43" t="n"/>
      <c r="F7" s="13" t="n"/>
      <c r="G7" s="48" t="n"/>
    </row>
    <row r="8" ht="24" customHeight="1">
      <c r="A8" s="49" t="inlineStr">
        <is>
          <t>综合潜力判断（建议结合1对1长期观察，看趋势而非单次）</t>
        </is>
      </c>
      <c r="B8" s="5" t="n"/>
      <c r="C8" s="5" t="n"/>
      <c r="D8" s="5" t="n"/>
      <c r="E8" s="50">
        <f>IFERROR(AVERAGE(E4:E7),"")</f>
        <v/>
      </c>
      <c r="F8" s="15" t="inlineStr">
        <is>
          <t>≥4.0 高潜力 ｜ 3.0-4.0 有潜力 ｜ &lt;3.0 需重点培养</t>
        </is>
      </c>
      <c r="G8" s="5" t="n"/>
    </row>
    <row r="10" ht="22" customHeight="1">
      <c r="A10" s="51" t="inlineStr">
        <is>
          <t>人机协同能力的五个子能力（用于细化评分依据）</t>
        </is>
      </c>
    </row>
    <row r="11" ht="22" customHeight="1">
      <c r="A11" s="25" t="inlineStr">
        <is>
          <t>技术判断力</t>
        </is>
      </c>
      <c r="B11" s="5" t="n"/>
      <c r="C11" s="52" t="inlineStr">
        <is>
          <t>不轻信AI输出，能识别系统性风险（不只是个案错误），关键节点有质量兜底意识</t>
        </is>
      </c>
      <c r="D11" s="5" t="n"/>
      <c r="E11" s="5" t="n"/>
      <c r="F11" s="5" t="n"/>
      <c r="G11" s="5" t="n"/>
    </row>
    <row r="12" ht="22" customHeight="1">
      <c r="A12" s="25" t="inlineStr">
        <is>
          <t>问题拆解</t>
        </is>
      </c>
      <c r="B12" s="5" t="n"/>
      <c r="C12" s="52" t="inlineStr">
        <is>
          <t>为复杂模糊问题设计可行路径，给AI明确的上下文和任务边界</t>
        </is>
      </c>
      <c r="D12" s="5" t="n"/>
      <c r="E12" s="5" t="n"/>
      <c r="F12" s="5" t="n"/>
      <c r="G12" s="5" t="n"/>
    </row>
    <row r="13" ht="22" customHeight="1">
      <c r="A13" s="25" t="inlineStr">
        <is>
          <t>工具驾驭</t>
        </is>
      </c>
      <c r="B13" s="5" t="n"/>
      <c r="C13" s="52" t="inlineStr">
        <is>
          <t>上下文投喂精准，指令边界明确，出错后能小步修正直指原因</t>
        </is>
      </c>
      <c r="D13" s="5" t="n"/>
      <c r="E13" s="5" t="n"/>
      <c r="F13" s="5" t="n"/>
      <c r="G13" s="5" t="n"/>
    </row>
    <row r="14" ht="22" customHeight="1">
      <c r="A14" s="25" t="inlineStr">
        <is>
          <t>AI技术理解</t>
        </is>
      </c>
      <c r="B14" s="5" t="n"/>
      <c r="C14" s="52" t="inlineStr">
        <is>
          <t>理解AI能力边界，有RAG/Agent等工程实践经验，知道哪些场景适合AI重塑</t>
        </is>
      </c>
      <c r="D14" s="5" t="n"/>
      <c r="E14" s="5" t="n"/>
      <c r="F14" s="5" t="n"/>
      <c r="G14" s="5" t="n"/>
    </row>
    <row r="15" ht="22" customHeight="1">
      <c r="A15" s="25" t="inlineStr">
        <is>
          <t>贡献</t>
        </is>
      </c>
      <c r="B15" s="5" t="n"/>
      <c r="C15" s="52" t="inlineStr">
        <is>
          <t>把个人实践沉淀为团队经验，推动整体提效——这是区分'中高'与'高'的关键</t>
        </is>
      </c>
      <c r="D15" s="5" t="n"/>
      <c r="E15" s="5" t="n"/>
      <c r="F15" s="5" t="n"/>
      <c r="G15" s="5" t="n"/>
    </row>
    <row r="17" ht="22" customHeight="1">
      <c r="A17" s="51" t="inlineStr">
        <is>
          <t>在绩效沟通中的应用提示</t>
        </is>
      </c>
    </row>
    <row r="18" ht="20" customHeight="1">
      <c r="A18" s="53" t="inlineStr">
        <is>
          <t>• 绩效制定：把'人机协同能力'作为专业/能力目标之一（如：本季度用AI重构某项重复工作流）</t>
        </is>
      </c>
    </row>
    <row r="19" ht="20" customHeight="1">
      <c r="A19" s="53" t="inlineStr">
        <is>
          <t>• 绩效评估：用五级标准给AI能力打分，重点关注'贡献'子能力——是否沉淀为团队资产</t>
        </is>
      </c>
    </row>
    <row r="20" ht="20" customHeight="1">
      <c r="A20" s="53" t="inlineStr">
        <is>
          <t>• 绩效沟通：特质层用于讨论'未来潜力'，倾听员工对AI的态度，判断是主动迭代还是被动防御</t>
        </is>
      </c>
    </row>
    <row r="21" ht="20" customHeight="1">
      <c r="A21" s="53" t="inlineStr">
        <is>
          <t>• 能力培养(7-2-1)：70%安排真实AI业务问题 / 20%结对使用与交流 / 10%学习资源</t>
        </is>
      </c>
    </row>
    <row r="22" ht="20" customHeight="1">
      <c r="A22" s="53" t="inlineStr">
        <is>
          <t>• 低分不等于淘汰：先问'为什么'，可能是没找到切入点或工具不顺手，作为培养计划输入</t>
        </is>
      </c>
    </row>
  </sheetData>
  <mergeCells count="21">
    <mergeCell ref="A8:D8"/>
    <mergeCell ref="A15:B15"/>
    <mergeCell ref="A17:G17"/>
    <mergeCell ref="A11:B11"/>
    <mergeCell ref="C15:G15"/>
    <mergeCell ref="A22:G22"/>
    <mergeCell ref="A20:G20"/>
    <mergeCell ref="C14:G14"/>
    <mergeCell ref="A19:G19"/>
    <mergeCell ref="A10:G10"/>
    <mergeCell ref="A12:B12"/>
    <mergeCell ref="F8:G8"/>
    <mergeCell ref="A1:G1"/>
    <mergeCell ref="C12:G12"/>
    <mergeCell ref="C11:G11"/>
    <mergeCell ref="A14:B14"/>
    <mergeCell ref="A18:G18"/>
    <mergeCell ref="A21:G21"/>
    <mergeCell ref="A13:B13"/>
    <mergeCell ref="A2:G2"/>
    <mergeCell ref="C13:G13"/>
  </mergeCells>
  <dataValidations count="2">
    <dataValidation sqref="E4 E5 E6 E7" showDropDown="0" showInputMessage="0" showErrorMessage="0" allowBlank="1" type="list">
      <formula1>"5,4,3,2,1"</formula1>
    </dataValidation>
    <dataValidation sqref="G4:G7" showDropDown="0" showInputMessage="0" showErrorMessage="0" allowBlank="1" type="list">
      <formula1>"高潜力,有潜力,需重点培养,待观察"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6" customWidth="1" min="3" max="3"/>
    <col width="9" customWidth="1" min="4" max="4"/>
    <col width="30" customWidth="1" min="5" max="5"/>
  </cols>
  <sheetData>
    <row r="1" ht="34" customHeight="1">
      <c r="A1" s="1" t="inlineStr">
        <is>
          <t>年中绩效面谈准备清单</t>
        </is>
      </c>
    </row>
    <row r="2" ht="30" customHeight="1">
      <c r="A2" s="2" t="inlineStr">
        <is>
          <t>基于绩效面谈六大原则与十步骤。完成后面谈要达到三个效果：对齐信息、辅导工作、激励员工。围绕'员工能贡献什么''长处如何发挥'来组织讨论。</t>
        </is>
      </c>
    </row>
    <row r="3" ht="26" customHeight="1">
      <c r="A3" s="7" t="inlineStr">
        <is>
          <t>序号</t>
        </is>
      </c>
      <c r="B3" s="7" t="inlineStr">
        <is>
          <t>阶段</t>
        </is>
      </c>
      <c r="C3" s="7" t="inlineStr">
        <is>
          <t>准备 / 执行事项</t>
        </is>
      </c>
      <c r="D3" s="7" t="inlineStr">
        <is>
          <t>完成</t>
        </is>
      </c>
      <c r="E3" s="7" t="inlineStr">
        <is>
          <t>备注</t>
        </is>
      </c>
    </row>
    <row r="4" ht="30" customHeight="1">
      <c r="A4" s="8" t="n">
        <v>1</v>
      </c>
      <c r="B4" s="34" t="inlineStr">
        <is>
          <t>准备</t>
        </is>
      </c>
      <c r="C4" s="10" t="inlineStr">
        <is>
          <t>收集整理上半年绩效数据与事实依据（OKR/KPI 完成度、项目交付、质量指标）</t>
        </is>
      </c>
      <c r="D4" s="8" t="inlineStr"/>
      <c r="E4" s="10" t="inlineStr"/>
    </row>
    <row r="5" ht="30" customHeight="1">
      <c r="A5" s="11" t="n">
        <v>2</v>
      </c>
      <c r="B5" s="35" t="inlineStr">
        <is>
          <t>准备</t>
        </is>
      </c>
      <c r="C5" s="13" t="inlineStr">
        <is>
          <t>回顾 1 对 1 面谈记录，提取员工成长轨迹与典型事例（至少 2 个亮点 + 2 个待改进）</t>
        </is>
      </c>
      <c r="D5" s="11" t="inlineStr"/>
      <c r="E5" s="13" t="inlineStr"/>
    </row>
    <row r="6" ht="30" customHeight="1">
      <c r="A6" s="8" t="n">
        <v>3</v>
      </c>
      <c r="B6" s="34" t="inlineStr">
        <is>
          <t>准备</t>
        </is>
      </c>
      <c r="C6" s="10" t="inlineStr">
        <is>
          <t>收集 360 度反馈、同事与合作方评价</t>
        </is>
      </c>
      <c r="D6" s="8" t="inlineStr"/>
      <c r="E6" s="10" t="inlineStr"/>
    </row>
    <row r="7" ht="30" customHeight="1">
      <c r="A7" s="11" t="n">
        <v>4</v>
      </c>
      <c r="B7" s="35" t="inlineStr">
        <is>
          <t>准备</t>
        </is>
      </c>
      <c r="C7" s="13" t="inlineStr">
        <is>
          <t>准备面谈提纲和关键讨论点；自评维度对照五维评估要点</t>
        </is>
      </c>
      <c r="D7" s="11" t="inlineStr"/>
      <c r="E7" s="13" t="inlineStr"/>
    </row>
    <row r="8" ht="30" customHeight="1">
      <c r="A8" s="8" t="n">
        <v>5</v>
      </c>
      <c r="B8" s="34" t="inlineStr">
        <is>
          <t>准备</t>
        </is>
      </c>
      <c r="C8" s="10" t="inlineStr">
        <is>
          <t>提前告知员工时间，选择私密环境，请其准备自评</t>
        </is>
      </c>
      <c r="D8" s="8" t="inlineStr"/>
      <c r="E8" s="10" t="inlineStr"/>
    </row>
    <row r="9" ht="30" customHeight="1">
      <c r="A9" s="11" t="n">
        <v>6</v>
      </c>
      <c r="B9" s="35" t="inlineStr">
        <is>
          <t>准备</t>
        </is>
      </c>
      <c r="C9" s="13" t="inlineStr">
        <is>
          <t>围绕'贡献''长处'思考：这个员工最大的价值是什么？优势如何放大？</t>
        </is>
      </c>
      <c r="D9" s="11" t="inlineStr"/>
      <c r="E9" s="13" t="inlineStr"/>
    </row>
    <row r="10" ht="30" customHeight="1">
      <c r="A10" s="8" t="n">
        <v>7</v>
      </c>
      <c r="B10" s="34" t="inlineStr">
        <is>
          <t>开场</t>
        </is>
      </c>
      <c r="C10" s="10" t="inlineStr">
        <is>
          <t>营造轻松氛围，说明面谈目的（对齐、辅导、激励，不是通知结果）</t>
        </is>
      </c>
      <c r="D10" s="8" t="inlineStr"/>
      <c r="E10" s="10" t="inlineStr"/>
    </row>
    <row r="11" ht="30" customHeight="1">
      <c r="A11" s="11" t="n">
        <v>8</v>
      </c>
      <c r="B11" s="35" t="inlineStr">
        <is>
          <t>开场</t>
        </is>
      </c>
      <c r="C11" s="13" t="inlineStr">
        <is>
          <t>请员工先做自我评价，倾听其视角</t>
        </is>
      </c>
      <c r="D11" s="11" t="inlineStr"/>
      <c r="E11" s="13" t="inlineStr"/>
    </row>
    <row r="12" ht="30" customHeight="1">
      <c r="A12" s="8" t="n">
        <v>9</v>
      </c>
      <c r="B12" s="34" t="inlineStr">
        <is>
          <t>核心讨论</t>
        </is>
      </c>
      <c r="C12" s="10" t="inlineStr">
        <is>
          <t>逐项讨论目标完成情况，用具体事例和数据肯定成绩（主动积极式反馈 + 引导式发问）</t>
        </is>
      </c>
      <c r="D12" s="8" t="inlineStr"/>
      <c r="E12" s="10" t="inlineStr"/>
    </row>
    <row r="13" ht="30" customHeight="1">
      <c r="A13" s="11" t="n">
        <v>10</v>
      </c>
      <c r="B13" s="35" t="inlineStr">
        <is>
          <t>核心讨论</t>
        </is>
      </c>
      <c r="C13" s="13" t="inlineStr">
        <is>
          <t>坦诚讨论待改进项，按 BEST 模型：行为 → 影响 → 建议 → 信任</t>
        </is>
      </c>
      <c r="D13" s="11" t="inlineStr"/>
      <c r="E13" s="13" t="inlineStr"/>
    </row>
    <row r="14" ht="30" customHeight="1">
      <c r="A14" s="8" t="n">
        <v>11</v>
      </c>
      <c r="B14" s="34" t="inlineStr">
        <is>
          <t>核心讨论</t>
        </is>
      </c>
      <c r="C14" s="10" t="inlineStr">
        <is>
          <t>倾听员工的想法、困难和资源需求</t>
        </is>
      </c>
      <c r="D14" s="8" t="inlineStr"/>
      <c r="E14" s="10" t="inlineStr"/>
    </row>
    <row r="15" ht="30" customHeight="1">
      <c r="A15" s="11" t="n">
        <v>12</v>
      </c>
      <c r="B15" s="35" t="inlineStr">
        <is>
          <t>收尾</t>
        </is>
      </c>
      <c r="C15" s="13" t="inlineStr">
        <is>
          <t>共同制定下半年目标和个人发展计划（遵循 7-2-1，围绕优势）</t>
        </is>
      </c>
      <c r="D15" s="11" t="inlineStr"/>
      <c r="E15" s="13" t="inlineStr"/>
    </row>
    <row r="16" ht="30" customHeight="1">
      <c r="A16" s="8" t="n">
        <v>13</v>
      </c>
      <c r="B16" s="34" t="inlineStr">
        <is>
          <t>收尾</t>
        </is>
      </c>
      <c r="C16" s="10" t="inlineStr">
        <is>
          <t>总结确认，表达期望和信心；记录面谈内容与行动项</t>
        </is>
      </c>
      <c r="D16" s="8" t="inlineStr"/>
      <c r="E16" s="10" t="inlineStr"/>
    </row>
    <row r="17" ht="30" customHeight="1">
      <c r="A17" s="11" t="n">
        <v>14</v>
      </c>
      <c r="B17" s="35" t="inlineStr">
        <is>
          <t>收尾</t>
        </is>
      </c>
      <c r="C17" s="13" t="inlineStr">
        <is>
          <t>约定下次 1 对 1 跟进时间，持续辅导</t>
        </is>
      </c>
      <c r="D17" s="11" t="inlineStr"/>
      <c r="E17" s="13" t="inlineStr"/>
    </row>
  </sheetData>
  <mergeCells count="2">
    <mergeCell ref="A2:E2"/>
    <mergeCell ref="A1:E1"/>
  </mergeCells>
  <dataValidations count="1">
    <dataValidation sqref="D4:D17" showDropDown="0" showInputMessage="0" showErrorMessage="0" allowBlank="1" type="list">
      <formula1>"✓,"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2026-06-28T12:35:55Z</dcterms:created>
  <dcterms:modified xsi:type="dcterms:W3CDTF">2026-06-28T12:56:52Z</dcterms:modified>
</cp:coreProperties>
</file>